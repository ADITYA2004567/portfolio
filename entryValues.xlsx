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c4ea89c59fc334a7/Desktop/sprint/"/>
    </mc:Choice>
  </mc:AlternateContent>
  <xr:revisionPtr revIDLastSave="18" documentId="13_ncr:1_{0688D6CC-2698-4135-9167-8165E90DB716}" xr6:coauthVersionLast="47" xr6:coauthVersionMax="47" xr10:uidLastSave="{A8A63DC5-E165-4A40-8E59-8B5ACE500C07}"/>
  <bookViews>
    <workbookView xWindow="-110" yWindow="-110" windowWidth="19420" windowHeight="10300" activeTab="2" xr2:uid="{00000000-000D-0000-FFFF-FFFF00000000}"/>
  </bookViews>
  <sheets>
    <sheet name="OrgConfig" sheetId="4" r:id="rId1"/>
    <sheet name="Branch" sheetId="5" r:id="rId2"/>
    <sheet name="adminConfig" sheetId="3" r:id="rId3"/>
    <sheet name="speciality" sheetId="6" r:id="rId4"/>
    <sheet name="nonDocSave" sheetId="1" r:id="rId5"/>
    <sheet name="patSave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6" l="1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B3" i="1"/>
  <c r="B2" i="1"/>
  <c r="B3" i="6"/>
  <c r="B2" i="6"/>
  <c r="B3" i="3"/>
  <c r="B2" i="3"/>
  <c r="B3" i="5"/>
  <c r="B2" i="5"/>
  <c r="C5" i="6"/>
  <c r="C4" i="6"/>
  <c r="C8" i="1"/>
  <c r="C9" i="1"/>
  <c r="C14" i="1"/>
  <c r="C6" i="1"/>
  <c r="C5" i="1"/>
  <c r="C27" i="3"/>
  <c r="C28" i="3"/>
  <c r="C29" i="3"/>
  <c r="C30" i="3"/>
  <c r="C17" i="3"/>
  <c r="C18" i="3"/>
  <c r="C19" i="3"/>
  <c r="C20" i="3"/>
  <c r="C21" i="3"/>
  <c r="C22" i="3"/>
  <c r="C23" i="3"/>
  <c r="C24" i="3"/>
  <c r="C25" i="3"/>
  <c r="C26" i="3"/>
  <c r="C7" i="3"/>
  <c r="C8" i="3"/>
  <c r="C9" i="3"/>
  <c r="C10" i="3"/>
  <c r="C11" i="3"/>
  <c r="C12" i="3"/>
  <c r="C13" i="3"/>
  <c r="C14" i="3"/>
  <c r="C15" i="3"/>
  <c r="C16" i="3"/>
  <c r="C6" i="3"/>
  <c r="C5" i="3"/>
  <c r="G3" i="4"/>
</calcChain>
</file>

<file path=xl/sharedStrings.xml><?xml version="1.0" encoding="utf-8"?>
<sst xmlns="http://schemas.openxmlformats.org/spreadsheetml/2006/main" count="165" uniqueCount="98">
  <si>
    <t>login Name</t>
  </si>
  <si>
    <t>superadmin@atvsllc.com</t>
  </si>
  <si>
    <t>password</t>
  </si>
  <si>
    <t>Key</t>
  </si>
  <si>
    <t>Value</t>
  </si>
  <si>
    <t>userTitle</t>
  </si>
  <si>
    <t>Mr.</t>
  </si>
  <si>
    <t>FirstName</t>
  </si>
  <si>
    <t>LastName</t>
  </si>
  <si>
    <t>Gender</t>
  </si>
  <si>
    <t>Male</t>
  </si>
  <si>
    <t>EmaiId</t>
  </si>
  <si>
    <t>usercode</t>
  </si>
  <si>
    <t>department</t>
  </si>
  <si>
    <t>Finance</t>
  </si>
  <si>
    <t>designation</t>
  </si>
  <si>
    <t>Role</t>
  </si>
  <si>
    <t>Receptionst</t>
  </si>
  <si>
    <t>branch</t>
  </si>
  <si>
    <t>address</t>
  </si>
  <si>
    <t>Administrator</t>
  </si>
  <si>
    <t>ATVSLLC</t>
  </si>
  <si>
    <t>DeptCode</t>
  </si>
  <si>
    <t>Ped</t>
  </si>
  <si>
    <t>DeptName</t>
  </si>
  <si>
    <t>Pediatrics</t>
  </si>
  <si>
    <t>Organization</t>
  </si>
  <si>
    <t>O1</t>
  </si>
  <si>
    <t>Branch</t>
  </si>
  <si>
    <t>B1</t>
  </si>
  <si>
    <t>uniqVal</t>
  </si>
  <si>
    <t>Intensive Care Unit</t>
  </si>
  <si>
    <t>ICU</t>
  </si>
  <si>
    <t>Orthopedics</t>
  </si>
  <si>
    <t>ORT</t>
  </si>
  <si>
    <t>EAR,NOSE,THROAT</t>
  </si>
  <si>
    <t>ENT</t>
  </si>
  <si>
    <t>FO</t>
  </si>
  <si>
    <t>Front Office</t>
  </si>
  <si>
    <t>NUS</t>
  </si>
  <si>
    <t>Nursing Dept</t>
  </si>
  <si>
    <t>DesigName</t>
  </si>
  <si>
    <t>DesigCode</t>
  </si>
  <si>
    <t>JrR</t>
  </si>
  <si>
    <t>Junior Resident</t>
  </si>
  <si>
    <t>SrR</t>
  </si>
  <si>
    <t>Senior Resident</t>
  </si>
  <si>
    <t>Medical Director</t>
  </si>
  <si>
    <t>MD</t>
  </si>
  <si>
    <t>Receptionist</t>
  </si>
  <si>
    <t>Recp</t>
  </si>
  <si>
    <t>NURSE</t>
  </si>
  <si>
    <t>Nur</t>
  </si>
  <si>
    <t>VIPCode</t>
  </si>
  <si>
    <t>VIPName</t>
  </si>
  <si>
    <t>Celebrity</t>
  </si>
  <si>
    <t>Cel</t>
  </si>
  <si>
    <t>Politician</t>
  </si>
  <si>
    <t>pol</t>
  </si>
  <si>
    <t>User1</t>
  </si>
  <si>
    <t>Name1</t>
  </si>
  <si>
    <t>user1.name1</t>
  </si>
  <si>
    <t>usr110</t>
  </si>
  <si>
    <t>Hyd1</t>
  </si>
  <si>
    <t>BranchCode</t>
  </si>
  <si>
    <t>BranchName</t>
  </si>
  <si>
    <t>BranchAddress</t>
  </si>
  <si>
    <t>B2</t>
  </si>
  <si>
    <t>Branch2</t>
  </si>
  <si>
    <t>Branch2 address</t>
  </si>
  <si>
    <t>O1B2</t>
  </si>
  <si>
    <t>O1Branch2</t>
  </si>
  <si>
    <t>O1Branch2 Address</t>
  </si>
  <si>
    <t>B3</t>
  </si>
  <si>
    <t>Branch3</t>
  </si>
  <si>
    <t>Branch3 address</t>
  </si>
  <si>
    <t>O1Branch3 Address</t>
  </si>
  <si>
    <t>O1B3</t>
  </si>
  <si>
    <t>O1Branch3</t>
  </si>
  <si>
    <t>SpecialityCode</t>
  </si>
  <si>
    <t>SpecialityName</t>
  </si>
  <si>
    <t>SpecialityCategory</t>
  </si>
  <si>
    <t>Car</t>
  </si>
  <si>
    <t>Cardiology</t>
  </si>
  <si>
    <t>login User</t>
  </si>
  <si>
    <t>pwd</t>
  </si>
  <si>
    <t>Consultation</t>
  </si>
  <si>
    <t>Neu</t>
  </si>
  <si>
    <t>Neurology</t>
  </si>
  <si>
    <t>Ear Nose Throat</t>
  </si>
  <si>
    <t>BC</t>
  </si>
  <si>
    <t>Bio-Chemistry</t>
  </si>
  <si>
    <t>Laboratory</t>
  </si>
  <si>
    <t>HM</t>
  </si>
  <si>
    <t>Hematology</t>
  </si>
  <si>
    <t>Radiology</t>
  </si>
  <si>
    <t>Selected DD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</si>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</sst>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A6C5-215D-4861-9AFD-BB023B019B89}">
  <dimension ref="E3:G8"/>
  <sheetViews>
    <sheetView workbookViewId="0">
      <selection activeCell="G8" sqref="G8"/>
    </sheetView>
  </sheetViews>
  <sheetFormatPr defaultRowHeight="14.5" x14ac:dyDescent="0.35"/>
  <sheetData>
    <row r="3" spans="5:7" x14ac:dyDescent="0.35">
      <c r="E3" t="s">
        <v>26</v>
      </c>
      <c r="F3" t="s">
        <v>27</v>
      </c>
      <c r="G3" t="str">
        <f>_xlfn.CONCAT(F3,F4)</f>
        <v>O1B1</v>
      </c>
    </row>
    <row r="4" spans="5:7" x14ac:dyDescent="0.35">
      <c r="E4" t="s">
        <v>28</v>
      </c>
      <c r="F4" t="s">
        <v>29</v>
      </c>
    </row>
    <row r="7" spans="5:7" x14ac:dyDescent="0.35">
      <c r="E7" t="s">
        <v>84</v>
      </c>
      <c r="F7" t="s">
        <v>1</v>
      </c>
    </row>
    <row r="8" spans="5:7" x14ac:dyDescent="0.35">
      <c r="E8" t="s">
        <v>85</v>
      </c>
      <c r="F8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BC15-58AD-4E6D-9E63-621E3054AB59}">
  <dimension ref="A1:C9"/>
  <sheetViews>
    <sheetView workbookViewId="0">
      <selection activeCell="B11" sqref="B11"/>
    </sheetView>
  </sheetViews>
  <sheetFormatPr defaultRowHeight="14.5" x14ac:dyDescent="0.35"/>
  <cols>
    <col min="1" max="1" width="13.453125" bestFit="1" customWidth="1"/>
    <col min="2" max="2" width="22.08984375" bestFit="1" customWidth="1"/>
    <col min="3" max="3" width="20.453125" customWidth="1"/>
  </cols>
  <sheetData>
    <row r="1" spans="1:3" x14ac:dyDescent="0.35">
      <c r="A1" t="s">
        <v>3</v>
      </c>
      <c r="B1" t="s">
        <v>4</v>
      </c>
      <c r="C1" t="s">
        <v>30</v>
      </c>
    </row>
    <row r="2" spans="1:3" x14ac:dyDescent="0.35">
      <c r="A2" t="s">
        <v>0</v>
      </c>
      <c r="B2" t="str">
        <f>OrgConfig!$F$7</f>
        <v>superadmin@atvsllc.com</v>
      </c>
    </row>
    <row r="3" spans="1:3" x14ac:dyDescent="0.35">
      <c r="A3" t="s">
        <v>2</v>
      </c>
      <c r="B3">
        <f>OrgConfig!$F$8</f>
        <v>123</v>
      </c>
    </row>
    <row r="4" spans="1:3" x14ac:dyDescent="0.35">
      <c r="A4" t="s">
        <v>64</v>
      </c>
      <c r="B4" t="s">
        <v>67</v>
      </c>
      <c r="C4" t="s">
        <v>70</v>
      </c>
    </row>
    <row r="5" spans="1:3" x14ac:dyDescent="0.35">
      <c r="A5" t="s">
        <v>65</v>
      </c>
      <c r="B5" t="s">
        <v>68</v>
      </c>
      <c r="C5" t="s">
        <v>71</v>
      </c>
    </row>
    <row r="6" spans="1:3" x14ac:dyDescent="0.35">
      <c r="A6" t="s">
        <v>66</v>
      </c>
      <c r="B6" t="s">
        <v>69</v>
      </c>
      <c r="C6" t="s">
        <v>72</v>
      </c>
    </row>
    <row r="7" spans="1:3" x14ac:dyDescent="0.35">
      <c r="A7" t="s">
        <v>64</v>
      </c>
      <c r="B7" t="s">
        <v>73</v>
      </c>
      <c r="C7" t="s">
        <v>77</v>
      </c>
    </row>
    <row r="8" spans="1:3" x14ac:dyDescent="0.35">
      <c r="A8" t="s">
        <v>65</v>
      </c>
      <c r="B8" t="s">
        <v>74</v>
      </c>
      <c r="C8" t="s">
        <v>78</v>
      </c>
    </row>
    <row r="9" spans="1:3" x14ac:dyDescent="0.35">
      <c r="A9" t="s">
        <v>66</v>
      </c>
      <c r="B9" t="s">
        <v>75</v>
      </c>
      <c r="C9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F62E-47C9-472D-BF30-C2FDC8C669FF}">
  <dimension ref="A1:D30"/>
  <sheetViews>
    <sheetView tabSelected="1" workbookViewId="0">
      <selection activeCell="D5" sqref="D5"/>
    </sheetView>
  </sheetViews>
  <sheetFormatPr defaultRowHeight="14.5" x14ac:dyDescent="0.35"/>
  <cols>
    <col min="1" max="1" width="13.26953125" customWidth="1"/>
    <col min="2" max="2" width="17.36328125" customWidth="1"/>
    <col min="3" max="3" width="21.26953125" bestFit="1" customWidth="1"/>
  </cols>
  <sheetData>
    <row r="1" spans="1:4" x14ac:dyDescent="0.35">
      <c r="A1" t="s">
        <v>3</v>
      </c>
      <c r="B1" t="s">
        <v>4</v>
      </c>
      <c r="C1" t="s">
        <v>30</v>
      </c>
    </row>
    <row r="2" spans="1:4" x14ac:dyDescent="0.35">
      <c r="A2" t="s">
        <v>0</v>
      </c>
      <c r="B2" t="str">
        <f>OrgConfig!$F$7</f>
        <v>superadmin@atvsllc.com</v>
      </c>
      <c r="D2">
        <v>0</v>
      </c>
    </row>
    <row r="3" spans="1:4" x14ac:dyDescent="0.35">
      <c r="A3" t="s">
        <v>2</v>
      </c>
      <c r="B3">
        <f>OrgConfig!$F$8</f>
        <v>123</v>
      </c>
      <c r="D3">
        <v>1</v>
      </c>
    </row>
    <row r="4" spans="1:4" x14ac:dyDescent="0.35">
      <c r="A4" t="s">
        <v>96</v>
      </c>
      <c r="C4" t="s">
        <v>97</v>
      </c>
      <c r="D4">
        <v>2</v>
      </c>
    </row>
    <row r="5" spans="1:4" x14ac:dyDescent="0.35">
      <c r="A5" t="s">
        <v>22</v>
      </c>
      <c r="B5" t="s">
        <v>23</v>
      </c>
      <c r="C5" t="str">
        <f>_xlfn.CONCAT(OrgConfig!$G$3,B5)</f>
        <v>O1B1Ped</v>
      </c>
      <c r="D5">
        <v>3</v>
      </c>
    </row>
    <row r="6" spans="1:4" x14ac:dyDescent="0.35">
      <c r="A6" t="s">
        <v>24</v>
      </c>
      <c r="B6" t="s">
        <v>25</v>
      </c>
      <c r="C6" t="str">
        <f>_xlfn.CONCAT(OrgConfig!$G$3,B6)</f>
        <v>O1B1Pediatrics</v>
      </c>
      <c r="D6">
        <v>4</v>
      </c>
    </row>
    <row r="7" spans="1:4" x14ac:dyDescent="0.35">
      <c r="A7" t="s">
        <v>22</v>
      </c>
      <c r="B7" t="s">
        <v>32</v>
      </c>
      <c r="C7" t="str">
        <f>_xlfn.CONCAT(OrgConfig!$G$3,B7)</f>
        <v>O1B1ICU</v>
      </c>
      <c r="D7">
        <v>5</v>
      </c>
    </row>
    <row r="8" spans="1:4" x14ac:dyDescent="0.35">
      <c r="A8" t="s">
        <v>24</v>
      </c>
      <c r="B8" t="s">
        <v>31</v>
      </c>
      <c r="C8" t="str">
        <f>_xlfn.CONCAT(OrgConfig!$G$3,B8)</f>
        <v>O1B1Intensive Care Unit</v>
      </c>
      <c r="D8">
        <v>6</v>
      </c>
    </row>
    <row r="9" spans="1:4" x14ac:dyDescent="0.35">
      <c r="A9" t="s">
        <v>22</v>
      </c>
      <c r="B9" t="s">
        <v>34</v>
      </c>
      <c r="C9" t="str">
        <f>_xlfn.CONCAT(OrgConfig!$G$3,B9)</f>
        <v>O1B1ORT</v>
      </c>
      <c r="D9">
        <v>7</v>
      </c>
    </row>
    <row r="10" spans="1:4" x14ac:dyDescent="0.35">
      <c r="A10" t="s">
        <v>24</v>
      </c>
      <c r="B10" t="s">
        <v>33</v>
      </c>
      <c r="C10" t="str">
        <f>_xlfn.CONCAT(OrgConfig!$G$3,B10)</f>
        <v>O1B1Orthopedics</v>
      </c>
      <c r="D10">
        <v>8</v>
      </c>
    </row>
    <row r="11" spans="1:4" x14ac:dyDescent="0.35">
      <c r="A11" t="s">
        <v>22</v>
      </c>
      <c r="B11" t="s">
        <v>36</v>
      </c>
      <c r="C11" t="str">
        <f>_xlfn.CONCAT(OrgConfig!$G$3,B11)</f>
        <v>O1B1ENT</v>
      </c>
      <c r="D11">
        <v>9</v>
      </c>
    </row>
    <row r="12" spans="1:4" x14ac:dyDescent="0.35">
      <c r="A12" t="s">
        <v>24</v>
      </c>
      <c r="B12" t="s">
        <v>35</v>
      </c>
      <c r="C12" t="str">
        <f>_xlfn.CONCAT(OrgConfig!$G$3,B12)</f>
        <v>O1B1EAR,NOSE,THROAT</v>
      </c>
    </row>
    <row r="13" spans="1:4" x14ac:dyDescent="0.35">
      <c r="A13" t="s">
        <v>22</v>
      </c>
      <c r="B13" t="s">
        <v>37</v>
      </c>
      <c r="C13" t="str">
        <f>_xlfn.CONCAT(OrgConfig!$G$3,B13)</f>
        <v>O1B1FO</v>
      </c>
    </row>
    <row r="14" spans="1:4" x14ac:dyDescent="0.35">
      <c r="A14" t="s">
        <v>24</v>
      </c>
      <c r="B14" t="s">
        <v>38</v>
      </c>
      <c r="C14" t="str">
        <f>_xlfn.CONCAT(OrgConfig!$G$3,B14)</f>
        <v>O1B1Front Office</v>
      </c>
    </row>
    <row r="15" spans="1:4" x14ac:dyDescent="0.35">
      <c r="A15" t="s">
        <v>22</v>
      </c>
      <c r="B15" t="s">
        <v>39</v>
      </c>
      <c r="C15" t="str">
        <f>_xlfn.CONCAT(OrgConfig!$G$3,B15)</f>
        <v>O1B1NUS</v>
      </c>
    </row>
    <row r="16" spans="1:4" x14ac:dyDescent="0.35">
      <c r="A16" t="s">
        <v>24</v>
      </c>
      <c r="B16" t="s">
        <v>40</v>
      </c>
      <c r="C16" t="str">
        <f>_xlfn.CONCAT(OrgConfig!$G$3,B16)</f>
        <v>O1B1Nursing Dept</v>
      </c>
    </row>
    <row r="17" spans="1:3" x14ac:dyDescent="0.35">
      <c r="A17" t="s">
        <v>42</v>
      </c>
      <c r="B17" t="s">
        <v>43</v>
      </c>
      <c r="C17" t="str">
        <f>_xlfn.CONCAT(OrgConfig!$G$3,B17)</f>
        <v>O1B1JrR</v>
      </c>
    </row>
    <row r="18" spans="1:3" x14ac:dyDescent="0.35">
      <c r="A18" t="s">
        <v>41</v>
      </c>
      <c r="B18" t="s">
        <v>44</v>
      </c>
      <c r="C18" t="str">
        <f>_xlfn.CONCAT(OrgConfig!$G$3,B18)</f>
        <v>O1B1Junior Resident</v>
      </c>
    </row>
    <row r="19" spans="1:3" x14ac:dyDescent="0.35">
      <c r="A19" t="s">
        <v>42</v>
      </c>
      <c r="B19" t="s">
        <v>45</v>
      </c>
      <c r="C19" t="str">
        <f>_xlfn.CONCAT(OrgConfig!$G$3,B19)</f>
        <v>O1B1SrR</v>
      </c>
    </row>
    <row r="20" spans="1:3" x14ac:dyDescent="0.35">
      <c r="A20" t="s">
        <v>41</v>
      </c>
      <c r="B20" t="s">
        <v>46</v>
      </c>
      <c r="C20" t="str">
        <f>_xlfn.CONCAT(OrgConfig!$G$3,B20)</f>
        <v>O1B1Senior Resident</v>
      </c>
    </row>
    <row r="21" spans="1:3" x14ac:dyDescent="0.35">
      <c r="A21" t="s">
        <v>42</v>
      </c>
      <c r="B21" t="s">
        <v>48</v>
      </c>
      <c r="C21" t="str">
        <f>_xlfn.CONCAT(OrgConfig!$G$3,B21)</f>
        <v>O1B1MD</v>
      </c>
    </row>
    <row r="22" spans="1:3" x14ac:dyDescent="0.35">
      <c r="A22" t="s">
        <v>41</v>
      </c>
      <c r="B22" t="s">
        <v>47</v>
      </c>
      <c r="C22" t="str">
        <f>_xlfn.CONCAT(OrgConfig!$G$3,B22)</f>
        <v>O1B1Medical Director</v>
      </c>
    </row>
    <row r="23" spans="1:3" x14ac:dyDescent="0.35">
      <c r="A23" t="s">
        <v>42</v>
      </c>
      <c r="B23" t="s">
        <v>50</v>
      </c>
      <c r="C23" t="str">
        <f>_xlfn.CONCAT(OrgConfig!$G$3,B23)</f>
        <v>O1B1Recp</v>
      </c>
    </row>
    <row r="24" spans="1:3" x14ac:dyDescent="0.35">
      <c r="A24" t="s">
        <v>41</v>
      </c>
      <c r="B24" t="s">
        <v>49</v>
      </c>
      <c r="C24" t="str">
        <f>_xlfn.CONCAT(OrgConfig!$G$3,B24)</f>
        <v>O1B1Receptionist</v>
      </c>
    </row>
    <row r="25" spans="1:3" x14ac:dyDescent="0.35">
      <c r="A25" t="s">
        <v>42</v>
      </c>
      <c r="B25" t="s">
        <v>52</v>
      </c>
      <c r="C25" t="str">
        <f>_xlfn.CONCAT(OrgConfig!$G$3,B25)</f>
        <v>O1B1Nur</v>
      </c>
    </row>
    <row r="26" spans="1:3" x14ac:dyDescent="0.35">
      <c r="A26" t="s">
        <v>41</v>
      </c>
      <c r="B26" t="s">
        <v>51</v>
      </c>
      <c r="C26" t="str">
        <f>_xlfn.CONCAT(OrgConfig!$G$3,B26)</f>
        <v>O1B1NURSE</v>
      </c>
    </row>
    <row r="27" spans="1:3" x14ac:dyDescent="0.35">
      <c r="A27" t="s">
        <v>53</v>
      </c>
      <c r="B27" t="s">
        <v>56</v>
      </c>
      <c r="C27" t="str">
        <f>_xlfn.CONCAT(OrgConfig!$G$3,B27)</f>
        <v>O1B1Cel</v>
      </c>
    </row>
    <row r="28" spans="1:3" x14ac:dyDescent="0.35">
      <c r="A28" t="s">
        <v>54</v>
      </c>
      <c r="B28" t="s">
        <v>55</v>
      </c>
      <c r="C28" t="str">
        <f>_xlfn.CONCAT(OrgConfig!$G$3,B28)</f>
        <v>O1B1Celebrity</v>
      </c>
    </row>
    <row r="29" spans="1:3" x14ac:dyDescent="0.35">
      <c r="A29" t="s">
        <v>53</v>
      </c>
      <c r="B29" t="s">
        <v>58</v>
      </c>
      <c r="C29" t="str">
        <f>_xlfn.CONCAT(OrgConfig!$G$3,B29)</f>
        <v>O1B1pol</v>
      </c>
    </row>
    <row r="30" spans="1:3" x14ac:dyDescent="0.35">
      <c r="A30" t="s">
        <v>54</v>
      </c>
      <c r="B30" t="s">
        <v>57</v>
      </c>
      <c r="C30" t="str">
        <f>_xlfn.CONCAT(OrgConfig!$G$3,B30)</f>
        <v>O1B1Politician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8435-FE00-4691-9834-2009F2972FBF}">
  <dimension ref="A1:C24"/>
  <sheetViews>
    <sheetView topLeftCell="A7" workbookViewId="0">
      <selection activeCell="F5" sqref="F5"/>
    </sheetView>
  </sheetViews>
  <sheetFormatPr defaultRowHeight="14.5" x14ac:dyDescent="0.35"/>
  <cols>
    <col min="1" max="1" width="16" bestFit="1" customWidth="1"/>
    <col min="2" max="2" width="22.08984375" bestFit="1" customWidth="1"/>
    <col min="3" max="3" width="14.54296875" customWidth="1"/>
  </cols>
  <sheetData>
    <row r="1" spans="1:3" x14ac:dyDescent="0.35">
      <c r="A1" t="s">
        <v>3</v>
      </c>
      <c r="B1" t="s">
        <v>4</v>
      </c>
      <c r="C1" t="s">
        <v>30</v>
      </c>
    </row>
    <row r="2" spans="1:3" x14ac:dyDescent="0.35">
      <c r="A2" t="s">
        <v>0</v>
      </c>
      <c r="B2" t="str">
        <f>OrgConfig!$F$7</f>
        <v>superadmin@atvsllc.com</v>
      </c>
    </row>
    <row r="3" spans="1:3" x14ac:dyDescent="0.35">
      <c r="A3" t="s">
        <v>2</v>
      </c>
      <c r="B3">
        <f>OrgConfig!$F$8</f>
        <v>123</v>
      </c>
    </row>
    <row r="4" spans="1:3" x14ac:dyDescent="0.35">
      <c r="A4" t="s">
        <v>79</v>
      </c>
      <c r="B4" t="s">
        <v>82</v>
      </c>
      <c r="C4" t="str">
        <f>_xlfn.CONCAT(OrgConfig!$G$3,B4)</f>
        <v>O1B1Car</v>
      </c>
    </row>
    <row r="5" spans="1:3" x14ac:dyDescent="0.35">
      <c r="A5" t="s">
        <v>80</v>
      </c>
      <c r="B5" t="s">
        <v>83</v>
      </c>
      <c r="C5" t="str">
        <f>_xlfn.CONCAT(OrgConfig!$G$3,B5)</f>
        <v>O1B1Cardiology</v>
      </c>
    </row>
    <row r="6" spans="1:3" x14ac:dyDescent="0.35">
      <c r="A6" t="s">
        <v>81</v>
      </c>
      <c r="B6" t="s">
        <v>86</v>
      </c>
      <c r="C6" t="str">
        <f>B6</f>
        <v>Consultation</v>
      </c>
    </row>
    <row r="7" spans="1:3" x14ac:dyDescent="0.35">
      <c r="A7" t="s">
        <v>79</v>
      </c>
      <c r="B7" t="s">
        <v>87</v>
      </c>
      <c r="C7" t="str">
        <f>_xlfn.CONCAT(OrgConfig!$G$3,B7)</f>
        <v>O1B1Neu</v>
      </c>
    </row>
    <row r="8" spans="1:3" x14ac:dyDescent="0.35">
      <c r="A8" t="s">
        <v>80</v>
      </c>
      <c r="B8" t="s">
        <v>88</v>
      </c>
      <c r="C8" t="str">
        <f>_xlfn.CONCAT(OrgConfig!$G$3,B8)</f>
        <v>O1B1Neurology</v>
      </c>
    </row>
    <row r="9" spans="1:3" x14ac:dyDescent="0.35">
      <c r="A9" t="s">
        <v>81</v>
      </c>
      <c r="B9" t="s">
        <v>86</v>
      </c>
      <c r="C9" t="str">
        <f>B9</f>
        <v>Consultation</v>
      </c>
    </row>
    <row r="10" spans="1:3" x14ac:dyDescent="0.35">
      <c r="A10" t="s">
        <v>79</v>
      </c>
      <c r="B10" t="s">
        <v>36</v>
      </c>
      <c r="C10" t="str">
        <f>_xlfn.CONCAT(OrgConfig!$G$3,B10)</f>
        <v>O1B1ENT</v>
      </c>
    </row>
    <row r="11" spans="1:3" x14ac:dyDescent="0.35">
      <c r="A11" t="s">
        <v>80</v>
      </c>
      <c r="B11" t="s">
        <v>89</v>
      </c>
      <c r="C11" t="str">
        <f>_xlfn.CONCAT(OrgConfig!$G$3,B11)</f>
        <v>O1B1Ear Nose Throat</v>
      </c>
    </row>
    <row r="12" spans="1:3" x14ac:dyDescent="0.35">
      <c r="A12" t="s">
        <v>81</v>
      </c>
      <c r="B12" t="s">
        <v>86</v>
      </c>
      <c r="C12" t="str">
        <f>B12</f>
        <v>Consultation</v>
      </c>
    </row>
    <row r="13" spans="1:3" x14ac:dyDescent="0.35">
      <c r="A13" t="s">
        <v>79</v>
      </c>
      <c r="B13" t="s">
        <v>90</v>
      </c>
      <c r="C13" t="str">
        <f>_xlfn.CONCAT(OrgConfig!$G$3,B13)</f>
        <v>O1B1BC</v>
      </c>
    </row>
    <row r="14" spans="1:3" x14ac:dyDescent="0.35">
      <c r="A14" t="s">
        <v>80</v>
      </c>
      <c r="B14" t="s">
        <v>91</v>
      </c>
      <c r="C14" t="str">
        <f>_xlfn.CONCAT(OrgConfig!$G$3,B14)</f>
        <v>O1B1Bio-Chemistry</v>
      </c>
    </row>
    <row r="15" spans="1:3" x14ac:dyDescent="0.35">
      <c r="A15" t="s">
        <v>81</v>
      </c>
      <c r="B15" t="s">
        <v>92</v>
      </c>
      <c r="C15" t="str">
        <f>B15</f>
        <v>Laboratory</v>
      </c>
    </row>
    <row r="16" spans="1:3" x14ac:dyDescent="0.35">
      <c r="A16" t="s">
        <v>79</v>
      </c>
      <c r="B16" t="s">
        <v>93</v>
      </c>
      <c r="C16" t="str">
        <f>_xlfn.CONCAT(OrgConfig!$G$3,B16)</f>
        <v>O1B1HM</v>
      </c>
    </row>
    <row r="17" spans="1:3" x14ac:dyDescent="0.35">
      <c r="A17" t="s">
        <v>80</v>
      </c>
      <c r="B17" t="s">
        <v>94</v>
      </c>
      <c r="C17" t="str">
        <f>_xlfn.CONCAT(OrgConfig!$G$3,B17)</f>
        <v>O1B1Hematology</v>
      </c>
    </row>
    <row r="18" spans="1:3" x14ac:dyDescent="0.35">
      <c r="A18" t="s">
        <v>81</v>
      </c>
      <c r="B18" t="s">
        <v>92</v>
      </c>
      <c r="C18" t="str">
        <f>B18</f>
        <v>Laboratory</v>
      </c>
    </row>
    <row r="19" spans="1:3" x14ac:dyDescent="0.35">
      <c r="A19" t="s">
        <v>79</v>
      </c>
      <c r="C19" t="str">
        <f>_xlfn.CONCAT(OrgConfig!$G$3,B19)</f>
        <v>O1B1</v>
      </c>
    </row>
    <row r="20" spans="1:3" x14ac:dyDescent="0.35">
      <c r="A20" t="s">
        <v>80</v>
      </c>
      <c r="C20" t="str">
        <f>_xlfn.CONCAT(OrgConfig!$G$3,B20)</f>
        <v>O1B1</v>
      </c>
    </row>
    <row r="21" spans="1:3" x14ac:dyDescent="0.35">
      <c r="A21" t="s">
        <v>81</v>
      </c>
      <c r="B21" t="s">
        <v>95</v>
      </c>
      <c r="C21" t="str">
        <f>B21</f>
        <v>Radiology</v>
      </c>
    </row>
    <row r="22" spans="1:3" x14ac:dyDescent="0.35">
      <c r="A22" t="s">
        <v>79</v>
      </c>
      <c r="C22" t="str">
        <f>_xlfn.CONCAT(OrgConfig!$G$3,B22)</f>
        <v>O1B1</v>
      </c>
    </row>
    <row r="23" spans="1:3" x14ac:dyDescent="0.35">
      <c r="A23" t="s">
        <v>80</v>
      </c>
      <c r="C23" t="str">
        <f>_xlfn.CONCAT(OrgConfig!$G$3,B23)</f>
        <v>O1B1</v>
      </c>
    </row>
    <row r="24" spans="1:3" x14ac:dyDescent="0.35">
      <c r="A24" t="s">
        <v>81</v>
      </c>
      <c r="B24" t="s">
        <v>95</v>
      </c>
      <c r="C24" t="str">
        <f>B24</f>
        <v>Radiology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B7" sqref="B7"/>
    </sheetView>
  </sheetViews>
  <sheetFormatPr defaultRowHeight="14.5" x14ac:dyDescent="0.35"/>
  <cols>
    <col min="1" max="1" width="16.36328125" customWidth="1"/>
    <col min="2" max="2" width="22.08984375" bestFit="1" customWidth="1"/>
    <col min="3" max="3" width="16.7265625" customWidth="1"/>
  </cols>
  <sheetData>
    <row r="1" spans="1:4" x14ac:dyDescent="0.35">
      <c r="A1" t="s">
        <v>3</v>
      </c>
      <c r="B1" t="s">
        <v>4</v>
      </c>
      <c r="C1" t="s">
        <v>59</v>
      </c>
    </row>
    <row r="2" spans="1:4" x14ac:dyDescent="0.35">
      <c r="A2" t="s">
        <v>0</v>
      </c>
      <c r="B2" t="str">
        <f>OrgConfig!$F$7</f>
        <v>superadmin@atvsllc.com</v>
      </c>
      <c r="D2">
        <v>0</v>
      </c>
    </row>
    <row r="3" spans="1:4" x14ac:dyDescent="0.35">
      <c r="A3" t="s">
        <v>2</v>
      </c>
      <c r="B3">
        <f>OrgConfig!$F$8</f>
        <v>123</v>
      </c>
      <c r="D3">
        <v>1</v>
      </c>
    </row>
    <row r="4" spans="1:4" x14ac:dyDescent="0.35">
      <c r="A4" t="s">
        <v>5</v>
      </c>
      <c r="B4" t="s">
        <v>6</v>
      </c>
      <c r="C4" t="s">
        <v>6</v>
      </c>
      <c r="D4">
        <v>2</v>
      </c>
    </row>
    <row r="5" spans="1:4" x14ac:dyDescent="0.35">
      <c r="A5" t="s">
        <v>7</v>
      </c>
      <c r="B5" t="s">
        <v>59</v>
      </c>
      <c r="C5" t="str">
        <f>_xlfn.CONCAT(OrgConfig!$G$3,B5)</f>
        <v>O1B1User1</v>
      </c>
      <c r="D5">
        <v>3</v>
      </c>
    </row>
    <row r="6" spans="1:4" x14ac:dyDescent="0.35">
      <c r="A6" t="s">
        <v>8</v>
      </c>
      <c r="B6" t="s">
        <v>60</v>
      </c>
      <c r="C6" t="str">
        <f>_xlfn.CONCAT(OrgConfig!$G$3,B6)</f>
        <v>O1B1Name1</v>
      </c>
      <c r="D6">
        <v>4</v>
      </c>
    </row>
    <row r="7" spans="1:4" x14ac:dyDescent="0.35">
      <c r="A7" t="s">
        <v>9</v>
      </c>
      <c r="B7" t="s">
        <v>10</v>
      </c>
      <c r="C7" t="s">
        <v>10</v>
      </c>
      <c r="D7">
        <v>5</v>
      </c>
    </row>
    <row r="8" spans="1:4" x14ac:dyDescent="0.35">
      <c r="A8" t="s">
        <v>11</v>
      </c>
      <c r="B8" t="s">
        <v>61</v>
      </c>
      <c r="C8" t="str">
        <f>_xlfn.CONCAT(OrgConfig!$G$3,B8)</f>
        <v>O1B1user1.name1</v>
      </c>
      <c r="D8">
        <v>6</v>
      </c>
    </row>
    <row r="9" spans="1:4" x14ac:dyDescent="0.35">
      <c r="A9" t="s">
        <v>12</v>
      </c>
      <c r="B9" t="s">
        <v>62</v>
      </c>
      <c r="C9" t="str">
        <f>_xlfn.CONCAT(OrgConfig!$G$3,B9)</f>
        <v>O1B1usr110</v>
      </c>
      <c r="D9">
        <v>7</v>
      </c>
    </row>
    <row r="10" spans="1:4" x14ac:dyDescent="0.35">
      <c r="A10" t="s">
        <v>13</v>
      </c>
      <c r="B10" t="s">
        <v>14</v>
      </c>
      <c r="C10" t="s">
        <v>14</v>
      </c>
      <c r="D10">
        <v>8</v>
      </c>
    </row>
    <row r="11" spans="1:4" x14ac:dyDescent="0.35">
      <c r="A11" t="s">
        <v>15</v>
      </c>
      <c r="B11" t="s">
        <v>20</v>
      </c>
      <c r="C11" t="s">
        <v>20</v>
      </c>
      <c r="D11">
        <v>9</v>
      </c>
    </row>
    <row r="12" spans="1:4" x14ac:dyDescent="0.35">
      <c r="A12" t="s">
        <v>16</v>
      </c>
      <c r="B12" t="s">
        <v>17</v>
      </c>
      <c r="C12" t="s">
        <v>17</v>
      </c>
      <c r="D12">
        <v>10</v>
      </c>
    </row>
    <row r="13" spans="1:4" x14ac:dyDescent="0.35">
      <c r="A13" t="s">
        <v>18</v>
      </c>
      <c r="B13" t="s">
        <v>21</v>
      </c>
      <c r="C13" t="s">
        <v>21</v>
      </c>
      <c r="D13">
        <v>11</v>
      </c>
    </row>
    <row r="14" spans="1:4" x14ac:dyDescent="0.35">
      <c r="A14" t="s">
        <v>19</v>
      </c>
      <c r="B14" t="s">
        <v>63</v>
      </c>
      <c r="C14" t="str">
        <f>_xlfn.CONCAT(OrgConfig!$G$3,B14)</f>
        <v>O1B1Hyd1</v>
      </c>
      <c r="D14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0817-BE25-41B4-8F3D-3D29C8CD878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OrgConfig</vt:lpstr>
      <vt:lpstr>Branch</vt:lpstr>
      <vt:lpstr>adminConfig</vt:lpstr>
      <vt:lpstr>speciality</vt:lpstr>
      <vt:lpstr>nonDocSave</vt:lpstr>
      <vt:lpstr>patSave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AMERICAN TECH</dc:creator>
  <cp:lastModifiedBy>nitta aditya</cp:lastModifiedBy>
  <dcterms:created xsi:type="dcterms:W3CDTF">2015-06-05T18:17:20Z</dcterms:created>
  <dcterms:modified xsi:type="dcterms:W3CDTF">2025-03-05T10:28:40Z</dcterms:modified>
</cp:coreProperties>
</file>